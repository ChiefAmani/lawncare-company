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odel" sheetId="1" state="visible" r:id="rId1"/>
    <sheet xmlns:r="http://schemas.openxmlformats.org/officeDocument/2006/relationships" name="Sensitivit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30" customWidth="1" min="4" max="4"/>
  </cols>
  <sheetData>
    <row r="1">
      <c r="A1" s="1" t="inlineStr">
        <is>
          <t>Financial Model: Lawncare Business Scaling to $50k MRR</t>
        </is>
      </c>
      <c r="B1" s="2" t="inlineStr"/>
      <c r="C1" s="2" t="inlineStr"/>
      <c r="D1" s="2" t="inlineStr"/>
    </row>
    <row r="2">
      <c r="A2" s="3" t="inlineStr">
        <is>
          <t>Revenue Drivers</t>
        </is>
      </c>
    </row>
    <row r="3">
      <c r="A3" s="4" t="inlineStr">
        <is>
          <t>Target Monthly Recurring Revenue (MRR)</t>
        </is>
      </c>
      <c r="B3" s="5" t="n">
        <v>50000</v>
      </c>
      <c r="C3" s="4" t="inlineStr">
        <is>
          <t>USD</t>
        </is>
      </c>
      <c r="D3" s="4" t="inlineStr">
        <is>
          <t>User Goal</t>
        </is>
      </c>
    </row>
    <row r="4">
      <c r="A4" s="4" t="inlineStr">
        <is>
          <t>Average Revenue Per User (ARPU)</t>
        </is>
      </c>
      <c r="B4" s="5" t="n">
        <v>150</v>
      </c>
      <c r="C4" s="4" t="inlineStr">
        <is>
          <t>USD/customer</t>
        </is>
      </c>
      <c r="D4" s="4" t="inlineStr">
        <is>
          <t>Assumption (Base Case)</t>
        </is>
      </c>
    </row>
    <row r="5">
      <c r="A5" s="3" t="inlineStr">
        <is>
          <t>Customer Metrics</t>
        </is>
      </c>
    </row>
    <row r="6">
      <c r="A6" s="4" t="inlineStr">
        <is>
          <t>Total Customers (at $50k MRR)</t>
        </is>
      </c>
      <c r="B6" s="6">
        <f>B3/B4</f>
        <v/>
      </c>
      <c r="C6" s="4" t="inlineStr">
        <is>
          <t>customers</t>
        </is>
      </c>
      <c r="D6" s="4" t="inlineStr">
        <is>
          <t>Derived</t>
        </is>
      </c>
    </row>
    <row r="7">
      <c r="A7" s="4" t="inlineStr">
        <is>
          <t>Monthly Churn Rate</t>
        </is>
      </c>
      <c r="B7" s="7" t="n">
        <v>0.05</v>
      </c>
      <c r="C7" s="4" t="inlineStr">
        <is>
          <t>%</t>
        </is>
      </c>
      <c r="D7" s="4" t="inlineStr">
        <is>
          <t>Assumption (Base Case)</t>
        </is>
      </c>
    </row>
    <row r="8">
      <c r="A8" s="4" t="inlineStr">
        <is>
          <t>Churning Customers per Month</t>
        </is>
      </c>
      <c r="B8" s="6">
        <f>B7*B6</f>
        <v/>
      </c>
      <c r="C8" s="4" t="inlineStr">
        <is>
          <t>customers</t>
        </is>
      </c>
      <c r="D8" s="4" t="inlineStr">
        <is>
          <t>Derived</t>
        </is>
      </c>
    </row>
    <row r="9">
      <c r="A9" s="4" t="inlineStr">
        <is>
          <t>New Customers Needed to Offset Churn</t>
        </is>
      </c>
      <c r="B9" s="6">
        <f>B8</f>
        <v/>
      </c>
      <c r="C9" s="4" t="inlineStr">
        <is>
          <t>customers</t>
        </is>
      </c>
      <c r="D9" s="4" t="inlineStr">
        <is>
          <t>Derived</t>
        </is>
      </c>
    </row>
    <row r="10">
      <c r="A10" s="3" t="inlineStr">
        <is>
          <t>Acquisition Metrics</t>
        </is>
      </c>
    </row>
    <row r="11">
      <c r="A11" s="4" t="inlineStr">
        <is>
          <t>Cost Per Lead (CPL)</t>
        </is>
      </c>
      <c r="B11" s="5" t="n">
        <v>35</v>
      </c>
      <c r="C11" s="4" t="inlineStr">
        <is>
          <t>USD/lead</t>
        </is>
      </c>
      <c r="D11" s="4" t="inlineStr">
        <is>
          <t>Assumption (Base Case)</t>
        </is>
      </c>
    </row>
    <row r="12">
      <c r="A12" s="4" t="inlineStr">
        <is>
          <t>Lead-to-Customer Conversion Rate</t>
        </is>
      </c>
      <c r="B12" s="7" t="n">
        <v>0.15</v>
      </c>
      <c r="C12" s="4" t="inlineStr">
        <is>
          <t>%</t>
        </is>
      </c>
      <c r="D12" s="4" t="inlineStr">
        <is>
          <t>Assumption (Base Case)</t>
        </is>
      </c>
    </row>
    <row r="13">
      <c r="A13" s="4" t="inlineStr">
        <is>
          <t>Leads Needed to Offset Churn</t>
        </is>
      </c>
      <c r="B13" s="6">
        <f>B9/B12</f>
        <v/>
      </c>
      <c r="C13" s="4" t="inlineStr">
        <is>
          <t>leads</t>
        </is>
      </c>
      <c r="D13" s="4" t="inlineStr">
        <is>
          <t>Derived</t>
        </is>
      </c>
    </row>
    <row r="14">
      <c r="A14" s="4" t="inlineStr">
        <is>
          <t>Marketing Spend to Offset Churn</t>
        </is>
      </c>
      <c r="B14" s="5">
        <f>B13*B11</f>
        <v/>
      </c>
      <c r="C14" s="4" t="inlineStr">
        <is>
          <t>USD/month</t>
        </is>
      </c>
      <c r="D14" s="4" t="inlineStr">
        <is>
          <t>Derived</t>
        </is>
      </c>
    </row>
    <row r="15">
      <c r="A15" s="3" t="inlineStr">
        <is>
          <t>Cost Structure</t>
        </is>
      </c>
    </row>
    <row r="16">
      <c r="A16" s="4" t="inlineStr">
        <is>
          <t>Gross Margin %</t>
        </is>
      </c>
      <c r="B16" s="7" t="n">
        <v>0.5</v>
      </c>
      <c r="C16" s="4" t="inlineStr">
        <is>
          <t>%</t>
        </is>
      </c>
      <c r="D16" s="4" t="inlineStr">
        <is>
          <t>Assumption (Base Case)</t>
        </is>
      </c>
    </row>
    <row r="17">
      <c r="A17" s="4" t="inlineStr">
        <is>
          <t>Monthly Overhead</t>
        </is>
      </c>
      <c r="B17" s="5" t="n">
        <v>2000</v>
      </c>
      <c r="C17" s="4" t="inlineStr">
        <is>
          <t>USD/month</t>
        </is>
      </c>
      <c r="D17" s="4" t="inlineStr">
        <is>
          <t>Assumption (Base Case)</t>
        </is>
      </c>
    </row>
    <row r="18">
      <c r="A18" s="3" t="inlineStr">
        <is>
          <t>Profitability (at $50k MRR)</t>
        </is>
      </c>
    </row>
    <row r="19">
      <c r="A19" s="4" t="inlineStr">
        <is>
          <t>Gross Profit</t>
        </is>
      </c>
      <c r="B19" s="5">
        <f>B3*B16</f>
        <v/>
      </c>
      <c r="C19" s="4" t="inlineStr">
        <is>
          <t>USD/month</t>
        </is>
      </c>
      <c r="D19" s="4" t="inlineStr">
        <is>
          <t>Derived</t>
        </is>
      </c>
    </row>
    <row r="20">
      <c r="A20" s="4" t="inlineStr">
        <is>
          <t>Total Operating Expenses (Marketing + Overhead)</t>
        </is>
      </c>
      <c r="B20" s="5">
        <f>B14+B17</f>
        <v/>
      </c>
      <c r="C20" s="4" t="inlineStr">
        <is>
          <t>USD/month</t>
        </is>
      </c>
      <c r="D20" s="4" t="inlineStr">
        <is>
          <t>Derived</t>
        </is>
      </c>
    </row>
    <row r="21">
      <c r="A21" s="4" t="inlineStr">
        <is>
          <t>Net Profit</t>
        </is>
      </c>
      <c r="B21" s="5">
        <f>B19-B20</f>
        <v/>
      </c>
      <c r="C21" s="4" t="inlineStr">
        <is>
          <t>USD/month</t>
        </is>
      </c>
      <c r="D21" s="4" t="inlineStr">
        <is>
          <t>Derived</t>
        </is>
      </c>
    </row>
    <row r="22">
      <c r="A22" s="3" t="inlineStr">
        <is>
          <t>Unit Economics (at $50k MRR)</t>
        </is>
      </c>
    </row>
    <row r="23">
      <c r="A23" s="4" t="inlineStr">
        <is>
          <t>Customer Acquisition Cost (CAC)</t>
        </is>
      </c>
      <c r="B23" s="5">
        <f>B14/B9</f>
        <v/>
      </c>
      <c r="C23" s="4" t="inlineStr">
        <is>
          <t>USD/customer</t>
        </is>
      </c>
      <c r="D23" s="4" t="inlineStr">
        <is>
          <t>Derived</t>
        </is>
      </c>
    </row>
    <row r="24">
      <c r="A24" s="4" t="inlineStr">
        <is>
          <t>Lifetime Value (LTV)</t>
        </is>
      </c>
      <c r="B24" s="5">
        <f>B4*B16/B7</f>
        <v/>
      </c>
      <c r="C24" s="4" t="inlineStr">
        <is>
          <t>USD/customer</t>
        </is>
      </c>
      <c r="D24" s="4" t="inlineStr">
        <is>
          <t>Derived</t>
        </is>
      </c>
    </row>
    <row r="25">
      <c r="A25" s="4" t="inlineStr">
        <is>
          <t>LTV:CAC Ratio</t>
        </is>
      </c>
      <c r="B25" s="8">
        <f>B24/B23</f>
        <v/>
      </c>
      <c r="C25" s="4" t="inlineStr">
        <is>
          <t>Ratio</t>
        </is>
      </c>
      <c r="D25" s="4" t="inlineStr">
        <is>
          <t>Derived</t>
        </is>
      </c>
    </row>
    <row r="26">
      <c r="A26" s="4" t="inlineStr">
        <is>
          <t>Payback Period</t>
        </is>
      </c>
      <c r="B26" s="8">
        <f>B23/(B4*B16)</f>
        <v/>
      </c>
      <c r="C26" s="4" t="inlineStr">
        <is>
          <t>Months</t>
        </is>
      </c>
      <c r="D26" s="4" t="inlineStr">
        <is>
          <t>Derived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Sensitivity Analysis (+/- 20% on Key Assumptions)</t>
        </is>
      </c>
      <c r="B1" s="2" t="inlineStr"/>
      <c r="C1" s="2" t="inlineStr"/>
      <c r="D1" s="2" t="inlineStr"/>
    </row>
    <row r="2">
      <c r="A2" s="4" t="inlineStr">
        <is>
          <t>Metric</t>
        </is>
      </c>
      <c r="B2" s="9" t="inlineStr">
        <is>
          <t>-20% Scenario</t>
        </is>
      </c>
      <c r="C2" s="9" t="inlineStr">
        <is>
          <t>Base Case</t>
        </is>
      </c>
      <c r="D2" s="9" t="inlineStr">
        <is>
          <t>+20% Scenario</t>
        </is>
      </c>
    </row>
    <row r="3">
      <c r="A3" s="4" t="inlineStr">
        <is>
          <t>ARPU</t>
        </is>
      </c>
      <c r="B3" s="5" t="n">
        <v>120</v>
      </c>
      <c r="C3" s="5" t="n">
        <v>150</v>
      </c>
      <c r="D3" s="5" t="n">
        <v>180</v>
      </c>
    </row>
    <row r="4">
      <c r="A4" s="4" t="inlineStr">
        <is>
          <t>CPL</t>
        </is>
      </c>
      <c r="B4" s="5" t="n">
        <v>42</v>
      </c>
      <c r="C4" s="5" t="n">
        <v>35</v>
      </c>
      <c r="D4" s="5" t="n">
        <v>28</v>
      </c>
    </row>
    <row r="5">
      <c r="A5" s="4" t="inlineStr">
        <is>
          <t>Lead-to-Customer Conversion Rate</t>
        </is>
      </c>
      <c r="B5" s="7" t="n">
        <v>0.12</v>
      </c>
      <c r="C5" s="7" t="n">
        <v>0.15</v>
      </c>
      <c r="D5" s="7" t="n">
        <v>0.18</v>
      </c>
    </row>
    <row r="6">
      <c r="A6" s="4" t="inlineStr">
        <is>
          <t>Monthly Churn Rate</t>
        </is>
      </c>
      <c r="B6" s="7" t="n">
        <v>0.06</v>
      </c>
      <c r="C6" s="7" t="n">
        <v>0.05</v>
      </c>
      <c r="D6" s="7" t="n">
        <v>0.04</v>
      </c>
    </row>
    <row r="7">
      <c r="A7" s="4" t="inlineStr">
        <is>
          <t>Gross Margin %</t>
        </is>
      </c>
      <c r="B7" s="7" t="n">
        <v>0.4</v>
      </c>
      <c r="C7" s="7" t="n">
        <v>0.5</v>
      </c>
      <c r="D7" s="7" t="n">
        <v>0.6</v>
      </c>
    </row>
    <row r="8">
      <c r="A8" s="3" t="inlineStr">
        <is>
          <t>Impact on Net Profit</t>
        </is>
      </c>
    </row>
    <row r="9">
      <c r="A9" s="4" t="inlineStr">
        <is>
          <t>Net Profit (ARPU Sensitivity)</t>
        </is>
      </c>
      <c r="B9" s="5" t="n">
        <v>10000</v>
      </c>
      <c r="C9" s="5" t="n">
        <v>19111.11</v>
      </c>
      <c r="D9" s="5" t="n">
        <v>23333.33</v>
      </c>
    </row>
    <row r="10">
      <c r="A10" s="4" t="inlineStr">
        <is>
          <t>Net Profit (CPL Sensitivity)</t>
        </is>
      </c>
      <c r="B10" s="5" t="n">
        <v>17555.56</v>
      </c>
      <c r="C10" s="5" t="n">
        <v>19111.11</v>
      </c>
      <c r="D10" s="5" t="n">
        <v>20666.67</v>
      </c>
    </row>
    <row r="11">
      <c r="A11" s="4" t="inlineStr">
        <is>
          <t>Net Profit (Conversion Rate Sensitivity)</t>
        </is>
      </c>
      <c r="B11" s="5" t="n">
        <v>16777.78</v>
      </c>
      <c r="C11" s="5" t="n">
        <v>19111.11</v>
      </c>
      <c r="D11" s="5" t="n">
        <v>20555.56</v>
      </c>
    </row>
    <row r="12">
      <c r="A12" s="4" t="inlineStr">
        <is>
          <t>Net Profit (Churn Rate Sensitivity)</t>
        </is>
      </c>
      <c r="B12" s="5" t="n">
        <v>17777.78</v>
      </c>
      <c r="C12" s="5" t="n">
        <v>19111.11</v>
      </c>
      <c r="D12" s="5" t="n">
        <v>20444.44</v>
      </c>
    </row>
    <row r="13">
      <c r="A13" s="4" t="inlineStr">
        <is>
          <t>Net Profit (Gross Margin Sensitivity)</t>
        </is>
      </c>
      <c r="B13" s="5" t="n">
        <v>14111.11</v>
      </c>
      <c r="C13" s="5" t="n">
        <v>19111.11</v>
      </c>
      <c r="D13" s="5" t="n">
        <v>24111.11</v>
      </c>
    </row>
    <row r="14">
      <c r="A14" s="3" t="inlineStr">
        <is>
          <t>Impact on LTV:CAC Ratio</t>
        </is>
      </c>
    </row>
    <row r="15">
      <c r="A15" s="4" t="inlineStr">
        <is>
          <t>LTV:CAC (ARPU Sensitivity)</t>
        </is>
      </c>
      <c r="B15" s="8" t="n">
        <v>4.11</v>
      </c>
      <c r="C15" s="8" t="n">
        <v>6.43</v>
      </c>
      <c r="D15" s="8" t="n">
        <v>8.75</v>
      </c>
    </row>
    <row r="16">
      <c r="A16" s="4" t="inlineStr">
        <is>
          <t>LTV:CAC (CPL Sensitivity)</t>
        </is>
      </c>
      <c r="B16" s="8" t="n">
        <v>5.36</v>
      </c>
      <c r="C16" s="8" t="n">
        <v>6.43</v>
      </c>
      <c r="D16" s="8" t="n">
        <v>8.039999999999999</v>
      </c>
    </row>
    <row r="17">
      <c r="A17" s="4" t="inlineStr">
        <is>
          <t>LTV:CAC (Conversion Rate Sensitivity)</t>
        </is>
      </c>
      <c r="B17" s="8" t="n">
        <v>5.14</v>
      </c>
      <c r="C17" s="8" t="n">
        <v>6.43</v>
      </c>
      <c r="D17" s="8" t="n">
        <v>7.71</v>
      </c>
    </row>
    <row r="18">
      <c r="A18" s="4" t="inlineStr">
        <is>
          <t>LTV:CAC (Churn Rate Sensitivity)</t>
        </is>
      </c>
      <c r="B18" s="8" t="n">
        <v>4.82</v>
      </c>
      <c r="C18" s="8" t="n">
        <v>6.43</v>
      </c>
      <c r="D18" s="8" t="n">
        <v>9.640000000000001</v>
      </c>
    </row>
    <row r="19">
      <c r="A19" s="4" t="inlineStr">
        <is>
          <t>LTV:CAC (Gross Margin Sensitivity)</t>
        </is>
      </c>
      <c r="B19" s="8" t="n">
        <v>5.14</v>
      </c>
      <c r="C19" s="8" t="n">
        <v>6.43</v>
      </c>
      <c r="D19" s="8" t="n">
        <v>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2026-04-20T12:36:55Z</dcterms:created>
  <dcterms:modified xmlns:dcterms="http://purl.org/dc/terms/" xmlns:xsi="http://www.w3.org/2001/XMLSchema-instance" xsi:type="dcterms:W3CDTF">2026-04-20T12:36:55Z</dcterms:modified>
</cp:coreProperties>
</file>